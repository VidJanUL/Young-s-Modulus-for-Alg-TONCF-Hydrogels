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ergarJa\Documents\Raziskovalno delo - nanoceluloza\Comment Response\"/>
    </mc:Choice>
  </mc:AlternateContent>
  <xr:revisionPtr revIDLastSave="0" documentId="13_ncr:1_{DC7B2DC4-E325-4CA2-8FBC-D0936144E535}" xr6:coauthVersionLast="47" xr6:coauthVersionMax="47" xr10:uidLastSave="{00000000-0000-0000-0000-000000000000}"/>
  <bookViews>
    <workbookView xWindow="11424" yWindow="0" windowWidth="11712" windowHeight="13776" xr2:uid="{D392E251-34E2-41CF-83CE-01CF43B2108E}"/>
  </bookViews>
  <sheets>
    <sheet name="5-10% Alg" sheetId="2" r:id="rId1"/>
    <sheet name="TONCF_Ca2+ Varia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J2" i="3"/>
  <c r="I2" i="3"/>
  <c r="H49" i="2"/>
  <c r="G49" i="2"/>
  <c r="H45" i="2"/>
  <c r="G45" i="2"/>
  <c r="H56" i="2"/>
  <c r="G56" i="2"/>
  <c r="H44" i="2"/>
  <c r="G44" i="2"/>
  <c r="H32" i="2"/>
  <c r="G32" i="2"/>
  <c r="H20" i="2"/>
  <c r="G20" i="2"/>
  <c r="H8" i="2"/>
  <c r="G8" i="2"/>
  <c r="H61" i="2"/>
  <c r="G61" i="2"/>
  <c r="G36" i="2"/>
  <c r="H36" i="2"/>
  <c r="H34" i="2"/>
  <c r="G34" i="2"/>
  <c r="G9" i="2"/>
  <c r="H9" i="2"/>
  <c r="H31" i="2"/>
  <c r="G31" i="2"/>
  <c r="H19" i="2"/>
  <c r="G19" i="2"/>
  <c r="H7" i="2"/>
  <c r="G7" i="2"/>
  <c r="H38" i="2"/>
  <c r="G38" i="2"/>
  <c r="H14" i="2"/>
  <c r="G14" i="2"/>
  <c r="H37" i="2"/>
  <c r="G37" i="2"/>
  <c r="G48" i="2"/>
  <c r="H48" i="2"/>
  <c r="H12" i="2"/>
  <c r="G12" i="2"/>
  <c r="G47" i="2"/>
  <c r="H47" i="2"/>
  <c r="H11" i="2"/>
  <c r="G11" i="2"/>
  <c r="G22" i="2"/>
  <c r="H22" i="2"/>
  <c r="H33" i="2"/>
  <c r="G33" i="2"/>
  <c r="H43" i="2"/>
  <c r="G43" i="2"/>
  <c r="H54" i="2"/>
  <c r="G54" i="2"/>
  <c r="H30" i="2"/>
  <c r="G30" i="2"/>
  <c r="H6" i="2"/>
  <c r="G6" i="2"/>
  <c r="H41" i="2"/>
  <c r="G41" i="2"/>
  <c r="H17" i="2"/>
  <c r="G17" i="2"/>
  <c r="H5" i="2"/>
  <c r="G5" i="2"/>
  <c r="H50" i="2"/>
  <c r="G50" i="2"/>
  <c r="H26" i="2"/>
  <c r="G26" i="2"/>
  <c r="G13" i="2"/>
  <c r="H13" i="2"/>
  <c r="H25" i="2"/>
  <c r="G25" i="2"/>
  <c r="H60" i="2"/>
  <c r="G60" i="2"/>
  <c r="H24" i="2"/>
  <c r="G24" i="2"/>
  <c r="G35" i="2"/>
  <c r="H35" i="2"/>
  <c r="H59" i="2"/>
  <c r="G59" i="2"/>
  <c r="H23" i="2"/>
  <c r="G23" i="2"/>
  <c r="G58" i="2"/>
  <c r="H58" i="2"/>
  <c r="G10" i="2"/>
  <c r="H10" i="2"/>
  <c r="H46" i="2"/>
  <c r="G46" i="2"/>
  <c r="G57" i="2"/>
  <c r="H57" i="2"/>
  <c r="H21" i="2"/>
  <c r="G21" i="2"/>
  <c r="H55" i="2"/>
  <c r="G55" i="2"/>
  <c r="H42" i="2"/>
  <c r="G42" i="2"/>
  <c r="H18" i="2"/>
  <c r="G18" i="2"/>
  <c r="G53" i="2"/>
  <c r="H53" i="2"/>
  <c r="G29" i="2"/>
  <c r="H29" i="2"/>
  <c r="H2" i="2"/>
  <c r="G2" i="2"/>
  <c r="H52" i="2"/>
  <c r="G52" i="2"/>
  <c r="H40" i="2"/>
  <c r="G40" i="2"/>
  <c r="H28" i="2"/>
  <c r="G28" i="2"/>
  <c r="H16" i="2"/>
  <c r="G16" i="2"/>
  <c r="H4" i="2"/>
  <c r="G4" i="2"/>
  <c r="G51" i="2"/>
  <c r="H51" i="2"/>
  <c r="G39" i="2"/>
  <c r="H39" i="2"/>
  <c r="G27" i="2"/>
  <c r="H27" i="2"/>
  <c r="G15" i="2"/>
  <c r="H15" i="2"/>
  <c r="G3" i="2"/>
  <c r="H3" i="2"/>
</calcChain>
</file>

<file path=xl/sharedStrings.xml><?xml version="1.0" encoding="utf-8"?>
<sst xmlns="http://schemas.openxmlformats.org/spreadsheetml/2006/main" count="18" uniqueCount="11">
  <si>
    <t>n = 1</t>
  </si>
  <si>
    <t>n = 2</t>
  </si>
  <si>
    <t>n = 3</t>
  </si>
  <si>
    <t>n = 4</t>
  </si>
  <si>
    <t>Young's modulus</t>
  </si>
  <si>
    <t>Young's Modulus</t>
  </si>
  <si>
    <t>TONCF fraction</t>
  </si>
  <si>
    <t>Alginate [%]</t>
  </si>
  <si>
    <t>TONCF [%]</t>
  </si>
  <si>
    <t>Ca(2+) [%]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</si>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</sst>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" fontId="2" fillId="0" borderId="2" xfId="0" applyNumberFormat="1" applyFont="1" applyBorder="1"/>
    <xf numFmtId="1" fontId="0" fillId="0" borderId="0" xfId="0" applyNumberFormat="1"/>
    <xf numFmtId="2" fontId="0" fillId="0" borderId="0" xfId="0" applyNumberFormat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1" fontId="0" fillId="0" borderId="7" xfId="0" applyNumberFormat="1" applyBorder="1"/>
    <xf numFmtId="1" fontId="0" fillId="0" borderId="6" xfId="0" applyNumberFormat="1" applyBorder="1"/>
    <xf numFmtId="2" fontId="0" fillId="0" borderId="4" xfId="0" applyNumberFormat="1" applyBorder="1"/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E3BD-5858-46C2-A0E1-C9FBE477171C}">
  <dimension ref="A1:H65"/>
  <sheetViews>
    <sheetView tabSelected="1" topLeftCell="A38" zoomScale="83" workbookViewId="0">
      <selection activeCell="C59" sqref="C59"/>
    </sheetView>
  </sheetViews>
  <sheetFormatPr defaultRowHeight="14.4" x14ac:dyDescent="0.3"/>
  <cols>
    <col min="1" max="1" width="11" bestFit="1" customWidth="1"/>
    <col min="2" max="2" width="13.88671875" bestFit="1" customWidth="1"/>
    <col min="3" max="6" width="10" bestFit="1" customWidth="1"/>
    <col min="7" max="7" width="15.33203125" bestFit="1" customWidth="1"/>
  </cols>
  <sheetData>
    <row r="1" spans="1:8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</v>
      </c>
    </row>
    <row r="2" spans="1:8" x14ac:dyDescent="0.3">
      <c r="A2">
        <v>5</v>
      </c>
      <c r="B2">
        <v>0</v>
      </c>
      <c r="C2" s="2">
        <v>13944</v>
      </c>
      <c r="D2" s="2">
        <v>20652</v>
      </c>
      <c r="E2" s="2">
        <v>6785</v>
      </c>
      <c r="F2" s="3"/>
      <c r="G2" s="3">
        <f t="shared" ref="G2:G33" si="0">AVERAGE(C2:F2)</f>
        <v>13793.666666666666</v>
      </c>
      <c r="H2" s="3">
        <f t="shared" ref="H2:H33" si="1">_xlfn.STDEV.S(C2:F2)</f>
        <v>6934.7222246700921</v>
      </c>
    </row>
    <row r="3" spans="1:8" x14ac:dyDescent="0.3">
      <c r="A3">
        <v>5</v>
      </c>
      <c r="B3">
        <v>0.1</v>
      </c>
      <c r="C3" s="2">
        <v>139545</v>
      </c>
      <c r="D3" s="2">
        <v>117370</v>
      </c>
      <c r="E3" s="2">
        <v>90134</v>
      </c>
      <c r="F3" s="3"/>
      <c r="G3" s="3">
        <f t="shared" si="0"/>
        <v>115683</v>
      </c>
      <c r="H3" s="3">
        <f t="shared" si="1"/>
        <v>24748.660711238495</v>
      </c>
    </row>
    <row r="4" spans="1:8" x14ac:dyDescent="0.3">
      <c r="A4">
        <v>5</v>
      </c>
      <c r="B4">
        <v>0.2</v>
      </c>
      <c r="C4" s="2">
        <v>178942</v>
      </c>
      <c r="D4" s="2">
        <v>201458</v>
      </c>
      <c r="E4" s="2">
        <v>180562</v>
      </c>
      <c r="F4" s="3"/>
      <c r="G4" s="3">
        <f t="shared" si="0"/>
        <v>186987.33333333334</v>
      </c>
      <c r="H4" s="3">
        <f t="shared" si="1"/>
        <v>12558.114720503763</v>
      </c>
    </row>
    <row r="5" spans="1:8" x14ac:dyDescent="0.3">
      <c r="A5">
        <v>5</v>
      </c>
      <c r="B5">
        <v>0.25</v>
      </c>
      <c r="C5" s="2">
        <v>219084</v>
      </c>
      <c r="D5" s="2">
        <v>253375</v>
      </c>
      <c r="E5" s="2">
        <v>245412</v>
      </c>
      <c r="F5" s="3"/>
      <c r="G5" s="3">
        <f t="shared" si="0"/>
        <v>239290.33333333334</v>
      </c>
      <c r="H5" s="3">
        <f t="shared" si="1"/>
        <v>17946.427843259877</v>
      </c>
    </row>
    <row r="6" spans="1:8" x14ac:dyDescent="0.3">
      <c r="A6">
        <v>5</v>
      </c>
      <c r="B6">
        <v>0.3</v>
      </c>
      <c r="C6" s="2">
        <v>220129</v>
      </c>
      <c r="D6" s="2">
        <v>216267</v>
      </c>
      <c r="E6" s="2">
        <v>260840</v>
      </c>
      <c r="F6" s="3"/>
      <c r="G6" s="3">
        <f t="shared" si="0"/>
        <v>232412</v>
      </c>
      <c r="H6" s="3">
        <f t="shared" si="1"/>
        <v>24694.982263609749</v>
      </c>
    </row>
    <row r="7" spans="1:8" x14ac:dyDescent="0.3">
      <c r="A7">
        <v>5</v>
      </c>
      <c r="B7">
        <v>0.4</v>
      </c>
      <c r="C7" s="2">
        <v>155475</v>
      </c>
      <c r="D7" s="2">
        <v>164354</v>
      </c>
      <c r="E7" s="2">
        <v>204554</v>
      </c>
      <c r="F7" s="3"/>
      <c r="G7" s="3">
        <f t="shared" si="0"/>
        <v>174794.33333333334</v>
      </c>
      <c r="H7" s="3">
        <f t="shared" si="1"/>
        <v>26152.19838432968</v>
      </c>
    </row>
    <row r="8" spans="1:8" x14ac:dyDescent="0.3">
      <c r="A8">
        <v>5</v>
      </c>
      <c r="B8">
        <v>0.5</v>
      </c>
      <c r="C8" s="2">
        <v>131645</v>
      </c>
      <c r="D8" s="2">
        <v>109840</v>
      </c>
      <c r="E8" s="2">
        <v>125566</v>
      </c>
      <c r="F8" s="3"/>
      <c r="G8" s="3">
        <f t="shared" si="0"/>
        <v>122350.33333333333</v>
      </c>
      <c r="H8" s="3">
        <f t="shared" si="1"/>
        <v>11252.550392392532</v>
      </c>
    </row>
    <row r="9" spans="1:8" x14ac:dyDescent="0.3">
      <c r="A9">
        <v>5</v>
      </c>
      <c r="B9">
        <v>0.6</v>
      </c>
      <c r="C9" s="2">
        <v>149590</v>
      </c>
      <c r="D9" s="2">
        <v>127853</v>
      </c>
      <c r="E9" s="2">
        <v>129896</v>
      </c>
      <c r="F9" s="3"/>
      <c r="G9" s="3">
        <f t="shared" si="0"/>
        <v>135779.66666666666</v>
      </c>
      <c r="H9" s="3">
        <f t="shared" si="1"/>
        <v>12003.642877615668</v>
      </c>
    </row>
    <row r="10" spans="1:8" x14ac:dyDescent="0.3">
      <c r="A10">
        <v>5</v>
      </c>
      <c r="B10">
        <v>0.7</v>
      </c>
      <c r="C10" s="2">
        <v>258712</v>
      </c>
      <c r="D10" s="2">
        <v>267137</v>
      </c>
      <c r="E10" s="2">
        <v>249059</v>
      </c>
      <c r="F10" s="3"/>
      <c r="G10" s="3">
        <f t="shared" si="0"/>
        <v>258302.66666666666</v>
      </c>
      <c r="H10" s="3">
        <f t="shared" si="1"/>
        <v>9045.9486143429622</v>
      </c>
    </row>
    <row r="11" spans="1:8" x14ac:dyDescent="0.3">
      <c r="A11">
        <v>5</v>
      </c>
      <c r="B11">
        <v>0.75</v>
      </c>
      <c r="C11" s="2">
        <v>243947</v>
      </c>
      <c r="D11" s="2">
        <v>222811</v>
      </c>
      <c r="E11" s="2">
        <v>234329</v>
      </c>
      <c r="F11" s="3"/>
      <c r="G11" s="3">
        <f t="shared" si="0"/>
        <v>233695.66666666666</v>
      </c>
      <c r="H11" s="3">
        <f t="shared" si="1"/>
        <v>10582.223647860281</v>
      </c>
    </row>
    <row r="12" spans="1:8" x14ac:dyDescent="0.3">
      <c r="A12">
        <v>5</v>
      </c>
      <c r="B12">
        <v>0.8</v>
      </c>
      <c r="C12" s="2">
        <v>174310</v>
      </c>
      <c r="D12" s="2">
        <v>190174</v>
      </c>
      <c r="E12" s="2">
        <v>186917</v>
      </c>
      <c r="F12" s="3"/>
      <c r="G12" s="3">
        <f t="shared" si="0"/>
        <v>183800.33333333334</v>
      </c>
      <c r="H12" s="3">
        <f t="shared" si="1"/>
        <v>8378.6533723106913</v>
      </c>
    </row>
    <row r="13" spans="1:8" x14ac:dyDescent="0.3">
      <c r="A13">
        <v>5</v>
      </c>
      <c r="B13">
        <v>0.9</v>
      </c>
      <c r="C13" s="2">
        <v>70456</v>
      </c>
      <c r="D13" s="2">
        <v>58766</v>
      </c>
      <c r="E13" s="2">
        <v>67838</v>
      </c>
      <c r="F13" s="3"/>
      <c r="G13" s="3">
        <f t="shared" si="0"/>
        <v>65686.666666666672</v>
      </c>
      <c r="H13" s="3">
        <f t="shared" si="1"/>
        <v>6134.7535674494156</v>
      </c>
    </row>
    <row r="14" spans="1:8" x14ac:dyDescent="0.3">
      <c r="A14">
        <v>6.25</v>
      </c>
      <c r="B14">
        <v>0</v>
      </c>
      <c r="C14" s="2">
        <v>14101</v>
      </c>
      <c r="D14" s="2">
        <v>14772</v>
      </c>
      <c r="E14" s="2">
        <v>25263</v>
      </c>
      <c r="F14" s="3"/>
      <c r="G14" s="3">
        <f t="shared" si="0"/>
        <v>18045.333333333332</v>
      </c>
      <c r="H14" s="3">
        <f t="shared" si="1"/>
        <v>6259.6800503966106</v>
      </c>
    </row>
    <row r="15" spans="1:8" x14ac:dyDescent="0.3">
      <c r="A15">
        <v>6.25</v>
      </c>
      <c r="B15">
        <v>0.1</v>
      </c>
      <c r="C15" s="2">
        <v>156261</v>
      </c>
      <c r="D15" s="2">
        <v>137932</v>
      </c>
      <c r="E15" s="2">
        <v>115237</v>
      </c>
      <c r="F15" s="3"/>
      <c r="G15" s="3">
        <f t="shared" si="0"/>
        <v>136476.66666666666</v>
      </c>
      <c r="H15" s="3">
        <f t="shared" si="1"/>
        <v>20550.684668237504</v>
      </c>
    </row>
    <row r="16" spans="1:8" x14ac:dyDescent="0.3">
      <c r="A16">
        <v>6.25</v>
      </c>
      <c r="B16">
        <v>0.2</v>
      </c>
      <c r="C16" s="2">
        <v>209543</v>
      </c>
      <c r="D16" s="2">
        <v>242290</v>
      </c>
      <c r="E16" s="2">
        <v>230023</v>
      </c>
      <c r="F16" s="3"/>
      <c r="G16" s="3">
        <f t="shared" si="0"/>
        <v>227285.33333333334</v>
      </c>
      <c r="H16" s="3">
        <f t="shared" si="1"/>
        <v>16544.26233874854</v>
      </c>
    </row>
    <row r="17" spans="1:8" x14ac:dyDescent="0.3">
      <c r="A17">
        <v>6.25</v>
      </c>
      <c r="B17">
        <v>0.25</v>
      </c>
      <c r="C17" s="2">
        <v>248594</v>
      </c>
      <c r="D17" s="2">
        <v>276189</v>
      </c>
      <c r="E17" s="2">
        <v>219644</v>
      </c>
      <c r="F17" s="3"/>
      <c r="G17" s="3">
        <f t="shared" si="0"/>
        <v>248142.33333333334</v>
      </c>
      <c r="H17" s="3">
        <f t="shared" si="1"/>
        <v>28275.205716905639</v>
      </c>
    </row>
    <row r="18" spans="1:8" x14ac:dyDescent="0.3">
      <c r="A18">
        <v>6.25</v>
      </c>
      <c r="B18">
        <v>0.3</v>
      </c>
      <c r="C18" s="2">
        <v>262760</v>
      </c>
      <c r="D18" s="2">
        <v>278071</v>
      </c>
      <c r="E18" s="2">
        <v>238399</v>
      </c>
      <c r="F18" s="3"/>
      <c r="G18" s="3">
        <f t="shared" si="0"/>
        <v>259743.33333333334</v>
      </c>
      <c r="H18" s="3">
        <f t="shared" si="1"/>
        <v>20007.30127561769</v>
      </c>
    </row>
    <row r="19" spans="1:8" x14ac:dyDescent="0.3">
      <c r="A19">
        <v>6.25</v>
      </c>
      <c r="B19">
        <v>0.4</v>
      </c>
      <c r="C19" s="2">
        <v>227393</v>
      </c>
      <c r="D19" s="2">
        <v>194677</v>
      </c>
      <c r="E19" s="2">
        <v>231066</v>
      </c>
      <c r="F19" s="3"/>
      <c r="G19" s="3">
        <f t="shared" si="0"/>
        <v>217712</v>
      </c>
      <c r="H19" s="3">
        <f t="shared" si="1"/>
        <v>20033.251134052105</v>
      </c>
    </row>
    <row r="20" spans="1:8" x14ac:dyDescent="0.3">
      <c r="A20">
        <v>6.25</v>
      </c>
      <c r="B20">
        <v>0.5</v>
      </c>
      <c r="C20" s="2">
        <v>156594</v>
      </c>
      <c r="D20" s="2">
        <v>191827</v>
      </c>
      <c r="E20" s="2">
        <v>169335</v>
      </c>
      <c r="F20" s="3"/>
      <c r="G20" s="3">
        <f t="shared" si="0"/>
        <v>172585.33333333334</v>
      </c>
      <c r="H20" s="3">
        <f t="shared" si="1"/>
        <v>17839.971197659859</v>
      </c>
    </row>
    <row r="21" spans="1:8" x14ac:dyDescent="0.3">
      <c r="A21">
        <v>6.25</v>
      </c>
      <c r="B21">
        <v>0.6</v>
      </c>
      <c r="C21" s="2">
        <v>204305</v>
      </c>
      <c r="D21" s="2">
        <v>216364</v>
      </c>
      <c r="E21" s="2">
        <v>194226</v>
      </c>
      <c r="F21" s="3"/>
      <c r="G21" s="3">
        <f t="shared" si="0"/>
        <v>204965</v>
      </c>
      <c r="H21" s="3">
        <f t="shared" si="1"/>
        <v>11083.747606292738</v>
      </c>
    </row>
    <row r="22" spans="1:8" x14ac:dyDescent="0.3">
      <c r="A22">
        <v>6.25</v>
      </c>
      <c r="B22">
        <v>0.7</v>
      </c>
      <c r="C22" s="2">
        <v>307614</v>
      </c>
      <c r="D22" s="2">
        <v>293112</v>
      </c>
      <c r="E22" s="2">
        <v>321764</v>
      </c>
      <c r="F22" s="3"/>
      <c r="G22" s="3">
        <f t="shared" si="0"/>
        <v>307496.66666666669</v>
      </c>
      <c r="H22" s="3">
        <f t="shared" si="1"/>
        <v>14326.360365889632</v>
      </c>
    </row>
    <row r="23" spans="1:8" x14ac:dyDescent="0.3">
      <c r="A23">
        <v>6.25</v>
      </c>
      <c r="B23">
        <v>0.75</v>
      </c>
      <c r="C23" s="2">
        <v>283045</v>
      </c>
      <c r="D23" s="2">
        <v>288824</v>
      </c>
      <c r="E23" s="2">
        <v>313430</v>
      </c>
      <c r="F23" s="3"/>
      <c r="G23" s="3">
        <f t="shared" si="0"/>
        <v>295099.66666666669</v>
      </c>
      <c r="H23" s="3">
        <f t="shared" si="1"/>
        <v>16135.366445585714</v>
      </c>
    </row>
    <row r="24" spans="1:8" x14ac:dyDescent="0.3">
      <c r="A24">
        <v>6.25</v>
      </c>
      <c r="B24">
        <v>0.8</v>
      </c>
      <c r="C24" s="2">
        <v>216423</v>
      </c>
      <c r="D24" s="2">
        <v>226046</v>
      </c>
      <c r="E24" s="2">
        <v>209367</v>
      </c>
      <c r="F24" s="3"/>
      <c r="G24" s="3">
        <f t="shared" si="0"/>
        <v>217278.66666666666</v>
      </c>
      <c r="H24" s="3">
        <f t="shared" si="1"/>
        <v>8372.3583495532093</v>
      </c>
    </row>
    <row r="25" spans="1:8" x14ac:dyDescent="0.3">
      <c r="A25">
        <v>6.25</v>
      </c>
      <c r="B25">
        <v>0.9</v>
      </c>
      <c r="C25" s="2">
        <v>95036</v>
      </c>
      <c r="D25" s="2">
        <v>81186</v>
      </c>
      <c r="E25" s="2">
        <v>88740</v>
      </c>
      <c r="F25" s="3"/>
      <c r="G25" s="3">
        <f t="shared" si="0"/>
        <v>88320.666666666672</v>
      </c>
      <c r="H25" s="3">
        <f t="shared" si="1"/>
        <v>6934.5155081904122</v>
      </c>
    </row>
    <row r="26" spans="1:8" x14ac:dyDescent="0.3">
      <c r="A26">
        <v>7.5</v>
      </c>
      <c r="B26">
        <v>0</v>
      </c>
      <c r="C26" s="3">
        <v>30976</v>
      </c>
      <c r="D26" s="3">
        <v>16641</v>
      </c>
      <c r="E26" s="3">
        <v>25244</v>
      </c>
      <c r="F26" s="3">
        <v>21885</v>
      </c>
      <c r="G26" s="3">
        <f t="shared" si="0"/>
        <v>23686.5</v>
      </c>
      <c r="H26" s="3">
        <f t="shared" si="1"/>
        <v>6012.4063125063885</v>
      </c>
    </row>
    <row r="27" spans="1:8" x14ac:dyDescent="0.3">
      <c r="A27">
        <v>7.5</v>
      </c>
      <c r="B27">
        <v>0.1</v>
      </c>
      <c r="C27" s="3">
        <v>152634</v>
      </c>
      <c r="D27" s="3">
        <v>134609</v>
      </c>
      <c r="E27" s="3">
        <v>204631</v>
      </c>
      <c r="F27" s="3">
        <v>151752</v>
      </c>
      <c r="G27" s="3">
        <f t="shared" si="0"/>
        <v>160906.5</v>
      </c>
      <c r="H27" s="3">
        <f t="shared" si="1"/>
        <v>30307.477256721097</v>
      </c>
    </row>
    <row r="28" spans="1:8" x14ac:dyDescent="0.3">
      <c r="A28">
        <v>7.5</v>
      </c>
      <c r="B28">
        <v>0.2</v>
      </c>
      <c r="C28" s="3">
        <v>280449</v>
      </c>
      <c r="D28" s="3">
        <v>237124</v>
      </c>
      <c r="E28" s="3">
        <v>252098</v>
      </c>
      <c r="F28" s="3">
        <v>259969</v>
      </c>
      <c r="G28" s="3">
        <f t="shared" si="0"/>
        <v>257410</v>
      </c>
      <c r="H28" s="3">
        <f t="shared" si="1"/>
        <v>18047.004756099188</v>
      </c>
    </row>
    <row r="29" spans="1:8" x14ac:dyDescent="0.3">
      <c r="A29">
        <v>7.5</v>
      </c>
      <c r="B29">
        <v>0.25</v>
      </c>
      <c r="C29" s="3">
        <v>318102</v>
      </c>
      <c r="D29" s="3">
        <v>257639</v>
      </c>
      <c r="E29" s="3">
        <v>279076</v>
      </c>
      <c r="F29" s="3">
        <v>296688</v>
      </c>
      <c r="G29" s="3">
        <f t="shared" si="0"/>
        <v>287876.25</v>
      </c>
      <c r="H29" s="3">
        <f t="shared" si="1"/>
        <v>25709.781463806077</v>
      </c>
    </row>
    <row r="30" spans="1:8" x14ac:dyDescent="0.3">
      <c r="A30">
        <v>7.5</v>
      </c>
      <c r="B30">
        <v>0.3</v>
      </c>
      <c r="C30" s="3">
        <v>282469</v>
      </c>
      <c r="D30" s="3">
        <v>314332</v>
      </c>
      <c r="E30" s="3">
        <v>312473</v>
      </c>
      <c r="F30" s="3">
        <v>259507</v>
      </c>
      <c r="G30" s="3">
        <f t="shared" si="0"/>
        <v>292195.25</v>
      </c>
      <c r="H30" s="3">
        <f t="shared" si="1"/>
        <v>26231.942822635156</v>
      </c>
    </row>
    <row r="31" spans="1:8" x14ac:dyDescent="0.3">
      <c r="A31">
        <v>7.5</v>
      </c>
      <c r="B31">
        <v>0.4</v>
      </c>
      <c r="C31" s="3">
        <v>228988</v>
      </c>
      <c r="D31" s="3">
        <v>239527</v>
      </c>
      <c r="E31" s="3">
        <v>267675</v>
      </c>
      <c r="F31" s="3">
        <v>306229</v>
      </c>
      <c r="G31" s="3">
        <f t="shared" si="0"/>
        <v>260604.75</v>
      </c>
      <c r="H31" s="3">
        <f t="shared" si="1"/>
        <v>34522.702910548585</v>
      </c>
    </row>
    <row r="32" spans="1:8" x14ac:dyDescent="0.3">
      <c r="A32">
        <v>7.5</v>
      </c>
      <c r="B32">
        <v>0.5</v>
      </c>
      <c r="C32" s="3">
        <v>224284</v>
      </c>
      <c r="D32" s="3">
        <v>250781</v>
      </c>
      <c r="E32" s="3">
        <v>208366</v>
      </c>
      <c r="F32" s="3">
        <v>208891</v>
      </c>
      <c r="G32" s="3">
        <f t="shared" si="0"/>
        <v>223080.5</v>
      </c>
      <c r="H32" s="3">
        <f t="shared" si="1"/>
        <v>19888.225436172026</v>
      </c>
    </row>
    <row r="33" spans="1:8" x14ac:dyDescent="0.3">
      <c r="A33">
        <v>7.5</v>
      </c>
      <c r="B33">
        <v>0.6</v>
      </c>
      <c r="C33" s="3">
        <v>223355</v>
      </c>
      <c r="D33" s="3">
        <v>251526</v>
      </c>
      <c r="E33" s="3">
        <v>265773</v>
      </c>
      <c r="F33" s="3">
        <v>246730</v>
      </c>
      <c r="G33" s="3">
        <f t="shared" si="0"/>
        <v>246846</v>
      </c>
      <c r="H33" s="3">
        <f t="shared" si="1"/>
        <v>17625.495416205093</v>
      </c>
    </row>
    <row r="34" spans="1:8" x14ac:dyDescent="0.3">
      <c r="A34">
        <v>7.5</v>
      </c>
      <c r="B34">
        <v>0.7</v>
      </c>
      <c r="C34" s="3">
        <v>360760</v>
      </c>
      <c r="D34" s="3">
        <v>336799</v>
      </c>
      <c r="E34" s="3">
        <v>332116</v>
      </c>
      <c r="F34" s="3">
        <v>343184</v>
      </c>
      <c r="G34" s="3">
        <f t="shared" ref="G34:G61" si="2">AVERAGE(C34:F34)</f>
        <v>343214.75</v>
      </c>
      <c r="H34" s="3">
        <f t="shared" ref="H34:H61" si="3">_xlfn.STDEV.S(C34:F34)</f>
        <v>12545.661172293791</v>
      </c>
    </row>
    <row r="35" spans="1:8" x14ac:dyDescent="0.3">
      <c r="A35">
        <v>7.5</v>
      </c>
      <c r="B35">
        <v>0.75</v>
      </c>
      <c r="C35" s="3">
        <v>337101</v>
      </c>
      <c r="D35" s="3">
        <v>345131</v>
      </c>
      <c r="E35" s="3">
        <v>321425</v>
      </c>
      <c r="F35" s="3">
        <v>303358</v>
      </c>
      <c r="G35" s="3">
        <f t="shared" si="2"/>
        <v>326753.75</v>
      </c>
      <c r="H35" s="3">
        <f t="shared" si="3"/>
        <v>18444.019760254723</v>
      </c>
    </row>
    <row r="36" spans="1:8" x14ac:dyDescent="0.3">
      <c r="A36">
        <v>7.5</v>
      </c>
      <c r="B36">
        <v>0.8</v>
      </c>
      <c r="C36" s="3">
        <v>239987</v>
      </c>
      <c r="D36" s="3">
        <v>231375</v>
      </c>
      <c r="E36" s="3">
        <v>238305</v>
      </c>
      <c r="F36" s="3">
        <v>258358</v>
      </c>
      <c r="G36" s="3">
        <f t="shared" si="2"/>
        <v>242006.25</v>
      </c>
      <c r="H36" s="3">
        <f t="shared" si="3"/>
        <v>11520.703490528114</v>
      </c>
    </row>
    <row r="37" spans="1:8" x14ac:dyDescent="0.3">
      <c r="A37">
        <v>7.5</v>
      </c>
      <c r="B37">
        <v>0.9</v>
      </c>
      <c r="C37" s="3">
        <v>80498</v>
      </c>
      <c r="D37" s="3">
        <v>94241</v>
      </c>
      <c r="E37" s="3">
        <v>95574</v>
      </c>
      <c r="F37" s="3">
        <v>92004</v>
      </c>
      <c r="G37" s="3">
        <f t="shared" si="2"/>
        <v>90579.25</v>
      </c>
      <c r="H37" s="3">
        <f t="shared" si="3"/>
        <v>6880.3453098905829</v>
      </c>
    </row>
    <row r="38" spans="1:8" x14ac:dyDescent="0.3">
      <c r="A38">
        <v>8.75</v>
      </c>
      <c r="B38">
        <v>0</v>
      </c>
      <c r="C38" s="2">
        <v>37874</v>
      </c>
      <c r="D38" s="2">
        <v>25225</v>
      </c>
      <c r="E38" s="2">
        <v>23434</v>
      </c>
      <c r="F38" s="3"/>
      <c r="G38" s="3">
        <f t="shared" si="2"/>
        <v>28844.333333333332</v>
      </c>
      <c r="H38" s="3">
        <f t="shared" si="3"/>
        <v>7871.0279083060841</v>
      </c>
    </row>
    <row r="39" spans="1:8" x14ac:dyDescent="0.3">
      <c r="A39">
        <v>8.75</v>
      </c>
      <c r="B39">
        <v>0.1</v>
      </c>
      <c r="C39" s="2">
        <v>171187</v>
      </c>
      <c r="D39" s="2">
        <v>140349</v>
      </c>
      <c r="E39" s="2">
        <v>205190</v>
      </c>
      <c r="F39" s="3"/>
      <c r="G39" s="3">
        <f t="shared" si="2"/>
        <v>172242</v>
      </c>
      <c r="H39" s="3">
        <f t="shared" si="3"/>
        <v>32433.37153303677</v>
      </c>
    </row>
    <row r="40" spans="1:8" x14ac:dyDescent="0.3">
      <c r="A40">
        <v>8.75</v>
      </c>
      <c r="B40">
        <v>0.2</v>
      </c>
      <c r="C40" s="2">
        <v>280644</v>
      </c>
      <c r="D40" s="2">
        <v>313074</v>
      </c>
      <c r="E40" s="2">
        <v>269284</v>
      </c>
      <c r="F40" s="3"/>
      <c r="G40" s="3">
        <f t="shared" si="2"/>
        <v>287667.33333333331</v>
      </c>
      <c r="H40" s="3">
        <f t="shared" si="3"/>
        <v>22724.137680742329</v>
      </c>
    </row>
    <row r="41" spans="1:8" x14ac:dyDescent="0.3">
      <c r="A41">
        <v>8.75</v>
      </c>
      <c r="B41">
        <v>0.25</v>
      </c>
      <c r="C41" s="2">
        <v>350501</v>
      </c>
      <c r="D41" s="2">
        <v>301623</v>
      </c>
      <c r="E41" s="2">
        <v>348446</v>
      </c>
      <c r="F41" s="3"/>
      <c r="G41" s="3">
        <f t="shared" si="2"/>
        <v>333523.33333333331</v>
      </c>
      <c r="H41" s="3">
        <f t="shared" si="3"/>
        <v>27645.600126120127</v>
      </c>
    </row>
    <row r="42" spans="1:8" x14ac:dyDescent="0.3">
      <c r="A42">
        <v>8.75</v>
      </c>
      <c r="B42">
        <v>0.3</v>
      </c>
      <c r="C42" s="2">
        <v>337360</v>
      </c>
      <c r="D42" s="2">
        <v>290091</v>
      </c>
      <c r="E42" s="2">
        <v>311052</v>
      </c>
      <c r="F42" s="3"/>
      <c r="G42" s="3">
        <f t="shared" si="2"/>
        <v>312834.33333333331</v>
      </c>
      <c r="H42" s="3">
        <f t="shared" si="3"/>
        <v>23684.850101559292</v>
      </c>
    </row>
    <row r="43" spans="1:8" x14ac:dyDescent="0.3">
      <c r="A43">
        <v>8.75</v>
      </c>
      <c r="B43">
        <v>0.4</v>
      </c>
      <c r="C43" s="2">
        <v>317209</v>
      </c>
      <c r="D43" s="2">
        <v>259448</v>
      </c>
      <c r="E43" s="2">
        <v>302739</v>
      </c>
      <c r="F43" s="3"/>
      <c r="G43" s="3">
        <f t="shared" si="2"/>
        <v>293132</v>
      </c>
      <c r="H43" s="3">
        <f t="shared" si="3"/>
        <v>30055.018166688904</v>
      </c>
    </row>
    <row r="44" spans="1:8" x14ac:dyDescent="0.3">
      <c r="A44">
        <v>8.75</v>
      </c>
      <c r="B44">
        <v>0.5</v>
      </c>
      <c r="C44" s="2">
        <v>264277</v>
      </c>
      <c r="D44" s="2">
        <v>251006</v>
      </c>
      <c r="E44" s="2">
        <v>286945</v>
      </c>
      <c r="F44" s="3"/>
      <c r="G44" s="3">
        <f t="shared" si="2"/>
        <v>267409.33333333331</v>
      </c>
      <c r="H44" s="3">
        <f t="shared" si="3"/>
        <v>18173.100019901209</v>
      </c>
    </row>
    <row r="45" spans="1:8" x14ac:dyDescent="0.3">
      <c r="A45">
        <v>8.75</v>
      </c>
      <c r="B45">
        <v>0.6</v>
      </c>
      <c r="C45" s="2">
        <v>286422</v>
      </c>
      <c r="D45" s="2">
        <v>332292</v>
      </c>
      <c r="E45" s="2">
        <v>336130</v>
      </c>
      <c r="F45" s="3"/>
      <c r="G45" s="3">
        <f t="shared" si="2"/>
        <v>318281.33333333331</v>
      </c>
      <c r="H45" s="3">
        <f t="shared" si="3"/>
        <v>27657.646344787427</v>
      </c>
    </row>
    <row r="46" spans="1:8" x14ac:dyDescent="0.3">
      <c r="A46">
        <v>8.75</v>
      </c>
      <c r="B46">
        <v>0.7</v>
      </c>
      <c r="C46" s="2">
        <v>385314</v>
      </c>
      <c r="D46" s="2">
        <v>412808</v>
      </c>
      <c r="E46" s="2">
        <v>412772</v>
      </c>
      <c r="F46" s="3"/>
      <c r="G46" s="3">
        <f t="shared" si="2"/>
        <v>403631.33333333331</v>
      </c>
      <c r="H46" s="3">
        <f t="shared" si="3"/>
        <v>15863.286208517242</v>
      </c>
    </row>
    <row r="47" spans="1:8" x14ac:dyDescent="0.3">
      <c r="A47">
        <v>8.75</v>
      </c>
      <c r="B47">
        <v>0.75</v>
      </c>
      <c r="C47" s="2">
        <v>388849</v>
      </c>
      <c r="D47" s="2">
        <v>339441</v>
      </c>
      <c r="E47" s="2">
        <v>358231</v>
      </c>
      <c r="F47" s="3"/>
      <c r="G47" s="3">
        <f t="shared" si="2"/>
        <v>362173.66666666669</v>
      </c>
      <c r="H47" s="3">
        <f t="shared" si="3"/>
        <v>24938.846832468684</v>
      </c>
    </row>
    <row r="48" spans="1:8" x14ac:dyDescent="0.3">
      <c r="A48">
        <v>8.75</v>
      </c>
      <c r="B48">
        <v>0.8</v>
      </c>
      <c r="C48" s="2">
        <v>278348</v>
      </c>
      <c r="D48" s="2">
        <v>297643</v>
      </c>
      <c r="E48" s="2">
        <v>300664</v>
      </c>
      <c r="F48" s="3"/>
      <c r="G48" s="3">
        <f t="shared" si="2"/>
        <v>292218.33333333331</v>
      </c>
      <c r="H48" s="3">
        <f t="shared" si="3"/>
        <v>12106.660164278723</v>
      </c>
    </row>
    <row r="49" spans="1:8" x14ac:dyDescent="0.3">
      <c r="A49">
        <v>8.75</v>
      </c>
      <c r="B49">
        <v>0.9</v>
      </c>
      <c r="C49" s="2">
        <v>114680</v>
      </c>
      <c r="D49" s="2">
        <v>124076</v>
      </c>
      <c r="E49" s="2">
        <v>111509</v>
      </c>
      <c r="F49" s="3"/>
      <c r="G49" s="3">
        <f t="shared" si="2"/>
        <v>116755</v>
      </c>
      <c r="H49" s="3">
        <f t="shared" si="3"/>
        <v>6535.4105456352163</v>
      </c>
    </row>
    <row r="50" spans="1:8" x14ac:dyDescent="0.3">
      <c r="A50">
        <v>10</v>
      </c>
      <c r="B50">
        <v>0</v>
      </c>
      <c r="C50" s="2">
        <v>38615</v>
      </c>
      <c r="D50" s="2">
        <v>24855</v>
      </c>
      <c r="E50" s="2">
        <v>45882</v>
      </c>
      <c r="F50" s="3"/>
      <c r="G50" s="3">
        <f t="shared" si="2"/>
        <v>36450.666666666664</v>
      </c>
      <c r="H50" s="3">
        <f t="shared" si="3"/>
        <v>10679.276021029387</v>
      </c>
    </row>
    <row r="51" spans="1:8" x14ac:dyDescent="0.3">
      <c r="A51">
        <v>10</v>
      </c>
      <c r="B51">
        <v>0.1</v>
      </c>
      <c r="C51" s="2">
        <v>187183</v>
      </c>
      <c r="D51" s="2">
        <v>184203</v>
      </c>
      <c r="E51" s="2">
        <v>240638</v>
      </c>
      <c r="F51" s="3"/>
      <c r="G51" s="3">
        <f t="shared" si="2"/>
        <v>204008</v>
      </c>
      <c r="H51" s="3">
        <f t="shared" si="3"/>
        <v>31757.483763673721</v>
      </c>
    </row>
    <row r="52" spans="1:8" x14ac:dyDescent="0.3">
      <c r="A52">
        <v>10</v>
      </c>
      <c r="B52">
        <v>0.2</v>
      </c>
      <c r="C52" s="2">
        <v>332918</v>
      </c>
      <c r="D52" s="2">
        <v>316014</v>
      </c>
      <c r="E52" s="2">
        <v>348403</v>
      </c>
      <c r="F52" s="3"/>
      <c r="G52" s="3">
        <f t="shared" si="2"/>
        <v>332445</v>
      </c>
      <c r="H52" s="3">
        <f t="shared" si="3"/>
        <v>16199.679842515407</v>
      </c>
    </row>
    <row r="53" spans="1:8" x14ac:dyDescent="0.3">
      <c r="A53">
        <v>10</v>
      </c>
      <c r="B53">
        <v>0.25</v>
      </c>
      <c r="C53" s="2">
        <v>317474</v>
      </c>
      <c r="D53" s="2">
        <v>354494</v>
      </c>
      <c r="E53" s="2">
        <v>353506</v>
      </c>
      <c r="F53" s="3"/>
      <c r="G53" s="3">
        <f t="shared" si="2"/>
        <v>341824.66666666669</v>
      </c>
      <c r="H53" s="3">
        <f t="shared" si="3"/>
        <v>21094.081191967885</v>
      </c>
    </row>
    <row r="54" spans="1:8" x14ac:dyDescent="0.3">
      <c r="A54">
        <v>10</v>
      </c>
      <c r="B54">
        <v>0.3</v>
      </c>
      <c r="C54" s="2">
        <v>316547</v>
      </c>
      <c r="D54" s="2">
        <v>360500</v>
      </c>
      <c r="E54" s="2">
        <v>340393</v>
      </c>
      <c r="F54" s="3"/>
      <c r="G54" s="3">
        <f t="shared" si="2"/>
        <v>339146.66666666669</v>
      </c>
      <c r="H54" s="3">
        <f t="shared" si="3"/>
        <v>22002.989849866615</v>
      </c>
    </row>
    <row r="55" spans="1:8" x14ac:dyDescent="0.3">
      <c r="A55">
        <v>10</v>
      </c>
      <c r="B55">
        <v>0.4</v>
      </c>
      <c r="C55" s="2">
        <v>340089</v>
      </c>
      <c r="D55" s="2">
        <v>298714</v>
      </c>
      <c r="E55" s="2">
        <v>364372</v>
      </c>
      <c r="F55" s="3"/>
      <c r="G55" s="3">
        <f t="shared" si="2"/>
        <v>334391.66666666669</v>
      </c>
      <c r="H55" s="3">
        <f t="shared" si="3"/>
        <v>33197.709956160128</v>
      </c>
    </row>
    <row r="56" spans="1:8" x14ac:dyDescent="0.3">
      <c r="A56">
        <v>10</v>
      </c>
      <c r="B56">
        <v>0.5</v>
      </c>
      <c r="C56" s="2">
        <v>328350</v>
      </c>
      <c r="D56" s="2">
        <v>315838</v>
      </c>
      <c r="E56" s="2">
        <v>359503</v>
      </c>
      <c r="F56" s="3"/>
      <c r="G56" s="3">
        <f t="shared" si="2"/>
        <v>334563.66666666669</v>
      </c>
      <c r="H56" s="3">
        <f t="shared" si="3"/>
        <v>22485.891050463917</v>
      </c>
    </row>
    <row r="57" spans="1:8" x14ac:dyDescent="0.3">
      <c r="A57">
        <v>10</v>
      </c>
      <c r="B57">
        <v>0.6</v>
      </c>
      <c r="C57" s="2">
        <v>366288</v>
      </c>
      <c r="D57" s="2">
        <v>374167</v>
      </c>
      <c r="E57" s="2">
        <v>405667</v>
      </c>
      <c r="F57" s="3"/>
      <c r="G57" s="3">
        <f t="shared" si="2"/>
        <v>382040.66666666669</v>
      </c>
      <c r="H57" s="3">
        <f t="shared" si="3"/>
        <v>20836.803505656364</v>
      </c>
    </row>
    <row r="58" spans="1:8" x14ac:dyDescent="0.3">
      <c r="A58">
        <v>10</v>
      </c>
      <c r="B58">
        <v>0.7</v>
      </c>
      <c r="C58" s="2">
        <v>432372</v>
      </c>
      <c r="D58" s="2">
        <v>408390</v>
      </c>
      <c r="E58" s="2">
        <v>429203</v>
      </c>
      <c r="F58" s="3"/>
      <c r="G58" s="3">
        <f t="shared" si="2"/>
        <v>423321.66666666669</v>
      </c>
      <c r="H58" s="3">
        <f t="shared" si="3"/>
        <v>13027.917804980707</v>
      </c>
    </row>
    <row r="59" spans="1:8" x14ac:dyDescent="0.3">
      <c r="A59">
        <v>10</v>
      </c>
      <c r="B59">
        <v>0.75</v>
      </c>
      <c r="C59" s="2">
        <v>444589</v>
      </c>
      <c r="D59" s="2">
        <v>408944</v>
      </c>
      <c r="E59" s="2">
        <v>452446</v>
      </c>
      <c r="F59" s="3"/>
      <c r="G59" s="3">
        <f t="shared" si="2"/>
        <v>435326.33333333331</v>
      </c>
      <c r="H59" s="3">
        <f t="shared" si="3"/>
        <v>23183.048685048594</v>
      </c>
    </row>
    <row r="60" spans="1:8" x14ac:dyDescent="0.3">
      <c r="A60">
        <v>10</v>
      </c>
      <c r="B60">
        <v>0.8</v>
      </c>
      <c r="C60" s="2">
        <v>350197</v>
      </c>
      <c r="D60" s="2">
        <v>343675</v>
      </c>
      <c r="E60" s="2">
        <v>319594</v>
      </c>
      <c r="F60" s="3"/>
      <c r="G60" s="3">
        <f t="shared" si="2"/>
        <v>337822</v>
      </c>
      <c r="H60" s="3">
        <f t="shared" si="3"/>
        <v>16119.215520613898</v>
      </c>
    </row>
    <row r="61" spans="1:8" x14ac:dyDescent="0.3">
      <c r="A61">
        <v>10</v>
      </c>
      <c r="B61">
        <v>0.9</v>
      </c>
      <c r="C61" s="2">
        <v>154587</v>
      </c>
      <c r="D61" s="2">
        <v>145964</v>
      </c>
      <c r="E61" s="2">
        <v>136523</v>
      </c>
      <c r="F61" s="3"/>
      <c r="G61" s="3">
        <f t="shared" si="2"/>
        <v>145691.33333333334</v>
      </c>
      <c r="H61" s="3">
        <f t="shared" si="3"/>
        <v>9035.0862936295925</v>
      </c>
    </row>
    <row r="65" spans="4:4" x14ac:dyDescent="0.3">
      <c r="D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A32E-A28D-4253-932B-EC1D1F8A2D15}">
  <dimension ref="A1:J196"/>
  <sheetViews>
    <sheetView workbookViewId="0">
      <selection activeCell="C25" sqref="C25"/>
    </sheetView>
  </sheetViews>
  <sheetFormatPr defaultRowHeight="14.4" x14ac:dyDescent="0.3"/>
  <cols>
    <col min="1" max="1" width="10.77734375" bestFit="1" customWidth="1"/>
    <col min="2" max="2" width="9.77734375" bestFit="1" customWidth="1"/>
    <col min="3" max="3" width="9.5546875" bestFit="1" customWidth="1"/>
    <col min="4" max="4" width="13.6640625" bestFit="1" customWidth="1"/>
    <col min="5" max="5" width="7" customWidth="1"/>
    <col min="6" max="7" width="7.109375" customWidth="1"/>
    <col min="9" max="9" width="14.6640625" bestFit="1" customWidth="1"/>
  </cols>
  <sheetData>
    <row r="1" spans="1:10" x14ac:dyDescent="0.3">
      <c r="A1" s="1" t="s">
        <v>7</v>
      </c>
      <c r="B1" s="1" t="s">
        <v>8</v>
      </c>
      <c r="C1" s="1" t="s">
        <v>9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10</v>
      </c>
    </row>
    <row r="2" spans="1:10" x14ac:dyDescent="0.3">
      <c r="A2" s="5">
        <v>5</v>
      </c>
      <c r="B2" s="6">
        <v>2</v>
      </c>
      <c r="C2" s="6">
        <v>1</v>
      </c>
      <c r="D2" s="14">
        <v>0.25</v>
      </c>
      <c r="E2" s="6">
        <v>85151</v>
      </c>
      <c r="F2" s="6">
        <v>92548</v>
      </c>
      <c r="G2" s="6">
        <v>78305</v>
      </c>
      <c r="H2" s="6">
        <v>62980</v>
      </c>
      <c r="I2" s="3">
        <f>AVERAGE(E2:H2)</f>
        <v>79746</v>
      </c>
      <c r="J2" s="7">
        <f>STDEV(E2:H2)</f>
        <v>12600.006164019656</v>
      </c>
    </row>
    <row r="3" spans="1:10" x14ac:dyDescent="0.3">
      <c r="A3" s="8">
        <v>5</v>
      </c>
      <c r="B3">
        <v>2</v>
      </c>
      <c r="C3" s="3">
        <v>1</v>
      </c>
      <c r="D3" s="4">
        <v>0.5</v>
      </c>
      <c r="E3" s="3">
        <v>46861</v>
      </c>
      <c r="F3" s="3">
        <v>71371</v>
      </c>
      <c r="G3" s="3">
        <v>52750</v>
      </c>
      <c r="H3" s="3">
        <v>63118</v>
      </c>
      <c r="I3" s="3">
        <f t="shared" ref="I3:I16" si="0">AVERAGE(E3:H3)</f>
        <v>58525</v>
      </c>
      <c r="J3" s="7">
        <f t="shared" ref="J3:J16" si="1">STDEV(E3:H3)</f>
        <v>10885.998438361086</v>
      </c>
    </row>
    <row r="4" spans="1:10" x14ac:dyDescent="0.3">
      <c r="A4" s="9">
        <v>5</v>
      </c>
      <c r="B4" s="10">
        <v>2</v>
      </c>
      <c r="C4" s="11">
        <v>1</v>
      </c>
      <c r="D4" s="15">
        <v>0.75</v>
      </c>
      <c r="E4" s="11">
        <v>24544</v>
      </c>
      <c r="F4" s="11">
        <v>29348</v>
      </c>
      <c r="G4" s="11">
        <v>26108</v>
      </c>
      <c r="H4" s="11">
        <v>26744</v>
      </c>
      <c r="I4" s="11">
        <f t="shared" si="0"/>
        <v>26686</v>
      </c>
      <c r="J4" s="7">
        <f t="shared" si="1"/>
        <v>2000.9877560844793</v>
      </c>
    </row>
    <row r="5" spans="1:10" x14ac:dyDescent="0.3">
      <c r="A5" s="5">
        <v>5</v>
      </c>
      <c r="B5" s="6">
        <v>3</v>
      </c>
      <c r="C5" s="6">
        <v>1</v>
      </c>
      <c r="D5" s="14">
        <v>0.25</v>
      </c>
      <c r="E5" s="6">
        <v>92573</v>
      </c>
      <c r="F5" s="6">
        <v>94336</v>
      </c>
      <c r="G5" s="6">
        <v>79161</v>
      </c>
      <c r="H5" s="6">
        <v>115158</v>
      </c>
      <c r="I5" s="3">
        <f t="shared" si="0"/>
        <v>95307</v>
      </c>
      <c r="J5" s="7">
        <f t="shared" si="1"/>
        <v>14868.009438612375</v>
      </c>
    </row>
    <row r="6" spans="1:10" x14ac:dyDescent="0.3">
      <c r="A6" s="8">
        <v>5</v>
      </c>
      <c r="B6">
        <v>3</v>
      </c>
      <c r="C6" s="3">
        <v>1</v>
      </c>
      <c r="D6" s="4">
        <v>0.5</v>
      </c>
      <c r="E6" s="3">
        <v>46716</v>
      </c>
      <c r="F6" s="3">
        <v>58756</v>
      </c>
      <c r="G6" s="3">
        <v>59181</v>
      </c>
      <c r="H6" s="3">
        <v>48875</v>
      </c>
      <c r="I6" s="3">
        <f t="shared" si="0"/>
        <v>53382</v>
      </c>
      <c r="J6" s="7">
        <f t="shared" si="1"/>
        <v>6512.9840063266438</v>
      </c>
    </row>
    <row r="7" spans="1:10" x14ac:dyDescent="0.3">
      <c r="A7" s="9">
        <v>5</v>
      </c>
      <c r="B7" s="10">
        <v>3</v>
      </c>
      <c r="C7" s="11">
        <v>1</v>
      </c>
      <c r="D7" s="15">
        <v>0.75</v>
      </c>
      <c r="E7" s="11">
        <v>24047</v>
      </c>
      <c r="F7" s="11">
        <v>28117</v>
      </c>
      <c r="G7" s="11">
        <v>28223</v>
      </c>
      <c r="H7" s="11">
        <v>33349</v>
      </c>
      <c r="I7" s="11">
        <f t="shared" si="0"/>
        <v>28434</v>
      </c>
      <c r="J7" s="7">
        <f t="shared" si="1"/>
        <v>3809.9870515965449</v>
      </c>
    </row>
    <row r="8" spans="1:10" x14ac:dyDescent="0.3">
      <c r="A8" s="5">
        <v>5</v>
      </c>
      <c r="B8" s="6">
        <v>4</v>
      </c>
      <c r="C8" s="6">
        <v>1</v>
      </c>
      <c r="D8" s="14">
        <v>0.25</v>
      </c>
      <c r="E8" s="6">
        <v>74606</v>
      </c>
      <c r="F8" s="6">
        <v>72436</v>
      </c>
      <c r="G8" s="6">
        <v>83442</v>
      </c>
      <c r="H8" s="6">
        <v>67592</v>
      </c>
      <c r="I8" s="3">
        <f t="shared" si="0"/>
        <v>74519</v>
      </c>
      <c r="J8" s="7">
        <f t="shared" si="1"/>
        <v>6631.9860273274599</v>
      </c>
    </row>
    <row r="9" spans="1:10" x14ac:dyDescent="0.3">
      <c r="A9" s="8">
        <v>5</v>
      </c>
      <c r="B9">
        <v>4</v>
      </c>
      <c r="C9" s="3">
        <v>1</v>
      </c>
      <c r="D9" s="4">
        <v>0.5</v>
      </c>
      <c r="E9" s="3">
        <v>62653</v>
      </c>
      <c r="F9" s="3">
        <v>61583</v>
      </c>
      <c r="G9" s="3">
        <v>65147</v>
      </c>
      <c r="H9" s="3">
        <v>57177</v>
      </c>
      <c r="I9" s="3">
        <f t="shared" si="0"/>
        <v>61640</v>
      </c>
      <c r="J9" s="7">
        <f t="shared" si="1"/>
        <v>3329.0056573497536</v>
      </c>
    </row>
    <row r="10" spans="1:10" x14ac:dyDescent="0.3">
      <c r="A10" s="12">
        <v>5</v>
      </c>
      <c r="B10" s="11">
        <v>4</v>
      </c>
      <c r="C10" s="11">
        <v>1</v>
      </c>
      <c r="D10" s="15">
        <v>0.75</v>
      </c>
      <c r="E10" s="11">
        <v>29437</v>
      </c>
      <c r="F10" s="11">
        <v>34293</v>
      </c>
      <c r="G10" s="11">
        <v>30134</v>
      </c>
      <c r="H10" s="11">
        <v>36452</v>
      </c>
      <c r="I10" s="11">
        <f t="shared" si="0"/>
        <v>32579</v>
      </c>
      <c r="J10" s="7">
        <f t="shared" si="1"/>
        <v>3355.9953317408931</v>
      </c>
    </row>
    <row r="11" spans="1:10" x14ac:dyDescent="0.3">
      <c r="A11" s="5">
        <v>5</v>
      </c>
      <c r="B11" s="6">
        <v>4</v>
      </c>
      <c r="C11" s="6">
        <v>2</v>
      </c>
      <c r="D11" s="14">
        <v>0.25</v>
      </c>
      <c r="E11" s="6">
        <v>142249</v>
      </c>
      <c r="F11" s="6">
        <v>139675</v>
      </c>
      <c r="G11" s="6">
        <v>170294</v>
      </c>
      <c r="H11" s="6">
        <v>156370</v>
      </c>
      <c r="I11" s="3">
        <f t="shared" si="0"/>
        <v>152147</v>
      </c>
      <c r="J11" s="7">
        <f t="shared" si="1"/>
        <v>14150.012084800494</v>
      </c>
    </row>
    <row r="12" spans="1:10" x14ac:dyDescent="0.3">
      <c r="A12" s="13">
        <v>5</v>
      </c>
      <c r="B12" s="3">
        <v>4</v>
      </c>
      <c r="C12" s="3">
        <v>2</v>
      </c>
      <c r="D12" s="4">
        <v>0.5</v>
      </c>
      <c r="E12" s="3">
        <v>97310</v>
      </c>
      <c r="F12" s="3">
        <v>80992</v>
      </c>
      <c r="G12" s="3">
        <v>75170</v>
      </c>
      <c r="H12" s="3">
        <v>94012</v>
      </c>
      <c r="I12" s="3">
        <f t="shared" si="0"/>
        <v>86871</v>
      </c>
      <c r="J12" s="7">
        <f t="shared" si="1"/>
        <v>10510.988599239052</v>
      </c>
    </row>
    <row r="13" spans="1:10" x14ac:dyDescent="0.3">
      <c r="A13" s="12">
        <v>5</v>
      </c>
      <c r="B13" s="11">
        <v>4</v>
      </c>
      <c r="C13" s="11">
        <v>2</v>
      </c>
      <c r="D13" s="15">
        <v>0.75</v>
      </c>
      <c r="E13" s="11">
        <v>201710</v>
      </c>
      <c r="F13" s="11">
        <v>172900</v>
      </c>
      <c r="G13" s="11">
        <v>187197</v>
      </c>
      <c r="H13" s="11">
        <v>132053</v>
      </c>
      <c r="I13" s="11">
        <f t="shared" si="0"/>
        <v>173465</v>
      </c>
      <c r="J13" s="7">
        <f t="shared" si="1"/>
        <v>30009.003193486227</v>
      </c>
    </row>
    <row r="14" spans="1:10" x14ac:dyDescent="0.3">
      <c r="A14" s="5">
        <v>5</v>
      </c>
      <c r="B14" s="6">
        <v>3</v>
      </c>
      <c r="C14" s="14">
        <v>1.25</v>
      </c>
      <c r="D14" s="14">
        <v>0.5</v>
      </c>
      <c r="E14" s="6">
        <v>78854</v>
      </c>
      <c r="F14" s="6">
        <v>59761</v>
      </c>
      <c r="G14" s="6">
        <v>56572</v>
      </c>
      <c r="H14" s="6">
        <v>63193</v>
      </c>
      <c r="I14" s="3">
        <f t="shared" si="0"/>
        <v>64595</v>
      </c>
      <c r="J14" s="7">
        <f t="shared" si="1"/>
        <v>9882.9949913981036</v>
      </c>
    </row>
    <row r="15" spans="1:10" x14ac:dyDescent="0.3">
      <c r="A15" s="13">
        <v>5</v>
      </c>
      <c r="B15" s="3">
        <v>3</v>
      </c>
      <c r="C15" s="4">
        <v>1.5</v>
      </c>
      <c r="D15" s="4">
        <v>0.5</v>
      </c>
      <c r="E15" s="3">
        <v>57889</v>
      </c>
      <c r="F15" s="3">
        <v>51251</v>
      </c>
      <c r="G15" s="3">
        <v>66874</v>
      </c>
      <c r="H15" s="3">
        <v>72182</v>
      </c>
      <c r="I15" s="3">
        <f t="shared" si="0"/>
        <v>62049</v>
      </c>
      <c r="J15" s="7">
        <f t="shared" si="1"/>
        <v>9306.9994806776122</v>
      </c>
    </row>
    <row r="16" spans="1:10" x14ac:dyDescent="0.3">
      <c r="A16" s="12">
        <v>5</v>
      </c>
      <c r="B16" s="11">
        <v>3</v>
      </c>
      <c r="C16" s="15">
        <v>1.75</v>
      </c>
      <c r="D16" s="15">
        <v>0.5</v>
      </c>
      <c r="E16" s="11">
        <v>111732</v>
      </c>
      <c r="F16" s="11">
        <v>97965</v>
      </c>
      <c r="G16" s="11">
        <v>124755</v>
      </c>
      <c r="H16" s="11">
        <v>112352</v>
      </c>
      <c r="I16" s="11">
        <f t="shared" si="0"/>
        <v>111701</v>
      </c>
      <c r="J16" s="7">
        <f t="shared" si="1"/>
        <v>10946.983968198729</v>
      </c>
    </row>
    <row r="17" spans="1:10" x14ac:dyDescent="0.3">
      <c r="A17" s="5"/>
      <c r="B17" s="6"/>
      <c r="C17" s="14"/>
      <c r="D17" s="14"/>
      <c r="E17" s="6"/>
      <c r="F17" s="6"/>
      <c r="G17" s="6"/>
      <c r="H17" s="6"/>
      <c r="J17" s="6"/>
    </row>
    <row r="18" spans="1:10" x14ac:dyDescent="0.3">
      <c r="A18" s="13"/>
      <c r="B18" s="3"/>
      <c r="C18" s="4"/>
      <c r="D18" s="4"/>
      <c r="E18" s="3"/>
      <c r="F18" s="3"/>
      <c r="G18" s="3"/>
      <c r="H18" s="3"/>
      <c r="J18" s="3"/>
    </row>
    <row r="19" spans="1:10" x14ac:dyDescent="0.3">
      <c r="A19" s="13"/>
      <c r="B19" s="3"/>
      <c r="C19" s="4"/>
      <c r="D19" s="4"/>
      <c r="E19" s="3"/>
      <c r="F19" s="3"/>
      <c r="G19" s="3"/>
      <c r="H19" s="3"/>
      <c r="J19" s="3"/>
    </row>
    <row r="20" spans="1:10" x14ac:dyDescent="0.3">
      <c r="A20" s="3"/>
      <c r="B20" s="3"/>
      <c r="C20" s="4"/>
      <c r="D20" s="4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4"/>
      <c r="D21" s="4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4"/>
      <c r="D22" s="4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3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5-10% Alg</vt:lpstr>
      <vt:lpstr>TONCF_Ca2+ Variations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Vidergar, Jan</dc:creator>
  <cp:lastModifiedBy>Vidergar, Jan</cp:lastModifiedBy>
  <dcterms:created xsi:type="dcterms:W3CDTF">2026-10-20T08:03:55Z</dcterms:created>
  <dcterms:modified xsi:type="dcterms:W3CDTF">2026-10-22T11:08:24Z</dcterms:modified>
</cp:coreProperties>
</file>